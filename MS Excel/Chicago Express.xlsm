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Google Drive\Informatika\Excel\"/>
    </mc:Choice>
  </mc:AlternateContent>
  <xr:revisionPtr revIDLastSave="0" documentId="13_ncr:1_{540EB2AF-9164-4414-BC9F-FCA7DB494621}" xr6:coauthVersionLast="47" xr6:coauthVersionMax="47" xr10:uidLastSave="{00000000-0000-0000-0000-000000000000}"/>
  <bookViews>
    <workbookView xWindow="28680" yWindow="-120" windowWidth="19440" windowHeight="15600" xr2:uid="{00000000-000D-0000-FFFF-FFFF00000000}"/>
  </bookViews>
  <sheets>
    <sheet name="Játék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" l="1"/>
  <c r="F10" i="1" s="1"/>
  <c r="E9" i="1"/>
  <c r="E10" i="1" s="1"/>
  <c r="D9" i="1"/>
  <c r="D10" i="1" s="1"/>
  <c r="C9" i="1"/>
  <c r="C10" i="1" s="1"/>
  <c r="B9" i="1"/>
  <c r="B10" i="1" s="1"/>
  <c r="F12" i="1" l="1"/>
  <c r="B12" i="1"/>
  <c r="E12" i="1"/>
  <c r="D12" i="1"/>
  <c r="C12" i="1"/>
  <c r="G3" i="1"/>
  <c r="G7" i="1"/>
  <c r="G4" i="1"/>
  <c r="G5" i="1"/>
  <c r="G6" i="1"/>
  <c r="G2" i="1"/>
  <c r="A12" i="1" l="1"/>
</calcChain>
</file>

<file path=xl/sharedStrings.xml><?xml version="1.0" encoding="utf-8"?>
<sst xmlns="http://schemas.openxmlformats.org/spreadsheetml/2006/main" count="8" uniqueCount="8">
  <si>
    <t>WRC</t>
  </si>
  <si>
    <t>PRR</t>
  </si>
  <si>
    <t>B&amp;O</t>
  </si>
  <si>
    <t>NYC</t>
  </si>
  <si>
    <t>C&amp;O</t>
  </si>
  <si>
    <t>Részvények</t>
  </si>
  <si>
    <t>Érték</t>
  </si>
  <si>
    <t>Jövedelem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</si>
</sst>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&quot;/2&quot;"/>
    <numFmt numFmtId="165" formatCode="#&quot;/3&quot;"/>
    <numFmt numFmtId="166" formatCode="#&quot;/4&quot;"/>
    <numFmt numFmtId="167" formatCode="#&quot;/5&quot;"/>
    <numFmt numFmtId="168" formatCode="#&quot;/6&quot;"/>
    <numFmt numFmtId="169" formatCode="_-[$$-409]* #,##0_ ;_-[$$-409]* \-#,##0\ ;_-[$$-409]* &quot;-&quot;??_ ;_-@_ "/>
  </numFmts>
  <fonts count="7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1"/>
      <color theme="2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5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10" borderId="0">
      <alignment horizontal="left"/>
    </xf>
    <xf numFmtId="0" fontId="3" fillId="9" borderId="0">
      <alignment horizontal="left"/>
    </xf>
    <xf numFmtId="0" fontId="3" fillId="11" borderId="0">
      <alignment horizontal="left"/>
    </xf>
    <xf numFmtId="0" fontId="3" fillId="12" borderId="0">
      <alignment horizontal="left"/>
    </xf>
    <xf numFmtId="0" fontId="3" fillId="13" borderId="0" applyNumberFormat="0" applyBorder="0" applyAlignment="0" applyProtection="0"/>
  </cellStyleXfs>
  <cellXfs count="39">
    <xf numFmtId="0" fontId="0" fillId="0" borderId="0" xfId="0"/>
    <xf numFmtId="0" fontId="0" fillId="0" borderId="0" xfId="0"/>
    <xf numFmtId="0" fontId="0" fillId="0" borderId="1" xfId="0" applyBorder="1"/>
    <xf numFmtId="0" fontId="3" fillId="8" borderId="2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4" fillId="3" borderId="0" xfId="3" applyFont="1" applyBorder="1" applyAlignment="1">
      <alignment horizontal="center"/>
    </xf>
    <xf numFmtId="0" fontId="4" fillId="2" borderId="0" xfId="2" applyFont="1" applyBorder="1" applyAlignment="1">
      <alignment horizontal="center"/>
    </xf>
    <xf numFmtId="0" fontId="4" fillId="6" borderId="0" xfId="6" applyFont="1" applyBorder="1" applyAlignment="1">
      <alignment horizontal="center"/>
    </xf>
    <xf numFmtId="0" fontId="2" fillId="0" borderId="0" xfId="1" applyBorder="1" applyAlignment="1">
      <alignment horizontal="right"/>
    </xf>
    <xf numFmtId="169" fontId="0" fillId="0" borderId="7" xfId="0" applyNumberFormat="1" applyBorder="1"/>
    <xf numFmtId="164" fontId="0" fillId="0" borderId="1" xfId="0" applyNumberFormat="1" applyBorder="1"/>
    <xf numFmtId="165" fontId="0" fillId="0" borderId="2" xfId="0" applyNumberFormat="1" applyBorder="1"/>
    <xf numFmtId="166" fontId="0" fillId="0" borderId="2" xfId="0" applyNumberFormat="1" applyBorder="1"/>
    <xf numFmtId="167" fontId="0" fillId="0" borderId="2" xfId="0" applyNumberFormat="1" applyBorder="1"/>
    <xf numFmtId="168" fontId="0" fillId="0" borderId="3" xfId="0" applyNumberFormat="1" applyBorder="1"/>
    <xf numFmtId="0" fontId="2" fillId="0" borderId="4" xfId="1" applyBorder="1" applyAlignment="1">
      <alignment horizontal="right"/>
    </xf>
    <xf numFmtId="0" fontId="2" fillId="0" borderId="5" xfId="1" applyBorder="1" applyAlignment="1">
      <alignment horizontal="right"/>
    </xf>
    <xf numFmtId="169" fontId="0" fillId="0" borderId="6" xfId="0" applyNumberFormat="1" applyBorder="1"/>
    <xf numFmtId="169" fontId="0" fillId="0" borderId="8" xfId="0" applyNumberFormat="1" applyBorder="1"/>
    <xf numFmtId="0" fontId="4" fillId="7" borderId="4" xfId="4" applyFont="1" applyFill="1" applyBorder="1" applyAlignment="1">
      <alignment horizontal="center"/>
    </xf>
    <xf numFmtId="0" fontId="4" fillId="5" borderId="5" xfId="5" applyFont="1" applyBorder="1" applyAlignment="1">
      <alignment horizontal="center"/>
    </xf>
    <xf numFmtId="0" fontId="4" fillId="7" borderId="6" xfId="4" applyFont="1" applyFill="1" applyBorder="1" applyAlignment="1">
      <alignment horizontal="center"/>
    </xf>
    <xf numFmtId="0" fontId="4" fillId="3" borderId="7" xfId="3" applyFont="1" applyBorder="1" applyAlignment="1">
      <alignment horizontal="center"/>
    </xf>
    <xf numFmtId="0" fontId="4" fillId="2" borderId="7" xfId="2" applyFont="1" applyBorder="1" applyAlignment="1">
      <alignment horizontal="center"/>
    </xf>
    <xf numFmtId="0" fontId="4" fillId="6" borderId="7" xfId="6" applyFont="1" applyBorder="1" applyAlignment="1">
      <alignment horizontal="center"/>
    </xf>
    <xf numFmtId="0" fontId="4" fillId="5" borderId="8" xfId="5" applyFont="1" applyBorder="1" applyAlignment="1">
      <alignment horizontal="center"/>
    </xf>
    <xf numFmtId="0" fontId="3" fillId="13" borderId="0" xfId="11"/>
    <xf numFmtId="0" fontId="0" fillId="0" borderId="0" xfId="0" applyAlignment="1"/>
    <xf numFmtId="0" fontId="0" fillId="0" borderId="4" xfId="0" applyBorder="1" applyAlignment="1">
      <alignment horizontal="center"/>
    </xf>
    <xf numFmtId="0" fontId="0" fillId="0" borderId="0" xfId="0" applyBorder="1" applyAlignment="1"/>
    <xf numFmtId="0" fontId="0" fillId="0" borderId="9" xfId="0" applyBorder="1" applyAlignment="1">
      <alignment horizontal="left" indent="1"/>
    </xf>
    <xf numFmtId="0" fontId="0" fillId="0" borderId="10" xfId="0" applyBorder="1" applyAlignment="1">
      <alignment horizontal="left" indent="1"/>
    </xf>
    <xf numFmtId="0" fontId="0" fillId="0" borderId="11" xfId="0" applyBorder="1" applyAlignment="1">
      <alignment horizontal="left" indent="1"/>
    </xf>
    <xf numFmtId="0" fontId="3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69" fontId="3" fillId="0" borderId="0" xfId="0" applyNumberFormat="1" applyFont="1" applyBorder="1"/>
  </cellXfs>
  <cellStyles count="12">
    <cellStyle name="40% - 4. jelölőszín" xfId="5" builtinId="43"/>
    <cellStyle name="60% - 1. jelölőszín" xfId="2" builtinId="32"/>
    <cellStyle name="60% - 2. jelölőszín" xfId="3" builtinId="36"/>
    <cellStyle name="60% - 6. jelölőszín" xfId="6" builtinId="52"/>
    <cellStyle name="Jelölőszín 2" xfId="11" builtinId="33"/>
    <cellStyle name="Jelölőszín 3" xfId="4" builtinId="37"/>
    <cellStyle name="Magyarázó szöveg" xfId="1" builtinId="53"/>
    <cellStyle name="Normál" xfId="0" builtinId="0"/>
    <cellStyle name="Régi kék" xfId="8" xr:uid="{00000000-0005-0000-0000-000008000000}"/>
    <cellStyle name="Régi piros" xfId="7" xr:uid="{00000000-0005-0000-0000-000009000000}"/>
    <cellStyle name="Régi sárga" xfId="10" xr:uid="{00000000-0005-0000-0000-00000A000000}"/>
    <cellStyle name="Régi zöld" xfId="9" xr:uid="{00000000-0005-0000-0000-00000B000000}"/>
  </cellStyles>
  <dxfs count="0"/>
  <tableStyles count="0" defaultTableStyle="TableStyleMedium2" defaultPivotStyle="PivotStyleLight16"/>
  <colors>
    <mruColors>
      <color rgb="FFF79646"/>
      <color rgb="FF9BBB59"/>
      <color rgb="FFC0504D"/>
      <color rgb="FF4F81BD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B$11" max="100" page="10" val="0"/>
</file>

<file path=xl/ctrlProps/ctrlProp2.xml><?xml version="1.0" encoding="utf-8"?>
<formControlPr xmlns="http://schemas.microsoft.com/office/spreadsheetml/2009/9/main" objectType="Spin" dx="22" fmlaLink="$C$11" max="100" min="7" page="10" val="7"/>
</file>

<file path=xl/ctrlProps/ctrlProp3.xml><?xml version="1.0" encoding="utf-8"?>
<formControlPr xmlns="http://schemas.microsoft.com/office/spreadsheetml/2009/9/main" objectType="Spin" dx="22" fmlaLink="$D$11" max="100" min="6" page="10" val="6"/>
</file>

<file path=xl/ctrlProps/ctrlProp4.xml><?xml version="1.0" encoding="utf-8"?>
<formControlPr xmlns="http://schemas.microsoft.com/office/spreadsheetml/2009/9/main" objectType="Spin" dx="22" fmlaLink="$E$11" max="100" min="8" page="10" val="8"/>
</file>

<file path=xl/ctrlProps/ctrlProp5.xml><?xml version="1.0" encoding="utf-8"?>
<formControlPr xmlns="http://schemas.microsoft.com/office/spreadsheetml/2009/9/main" objectType="Spin" dx="22" fmlaLink="$F$11" max="100" min="5" page="10" val="5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pin" dx="22" fmlaLink="$C$11" max="100" min="7" page="10" val="7"/>
</file>

<file path=xl/ctrlProps/ctrlProp13.xml><?xml version="1.0" encoding="utf-8"?>
<formControlPr xmlns="http://schemas.microsoft.com/office/spreadsheetml/2009/9/main" objectType="Spin" dx="22" fmlaLink="$D$11" max="100" min="6" page="10" val="6"/>
</file>

<file path=xl/ctrlProps/ctrlProp14.xml><?xml version="1.0" encoding="utf-8"?>
<formControlPr xmlns="http://schemas.microsoft.com/office/spreadsheetml/2009/9/main" objectType="Spin" dx="22" fmlaLink="$E$11" max="100" min="8" page="10" val="8"/>
</file>

<file path=xl/ctrlProps/ctrlProp15.xml><?xml version="1.0" encoding="utf-8"?>
<formControlPr xmlns="http://schemas.microsoft.com/office/spreadsheetml/2009/9/main" objectType="Spin" dx="22" fmlaLink="$F$11" max="100" min="5" page="10" val="5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7620</xdr:rowOff>
        </xdr:from>
        <xdr:to>
          <xdr:col>1</xdr:col>
          <xdr:colOff>510540</xdr:colOff>
          <xdr:row>12</xdr:row>
          <xdr:rowOff>144780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29CCE6D-C00D-4015-BD2C-5984F4842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11</xdr:row>
          <xdr:rowOff>7620</xdr:rowOff>
        </xdr:from>
        <xdr:to>
          <xdr:col>2</xdr:col>
          <xdr:colOff>510540</xdr:colOff>
          <xdr:row>12</xdr:row>
          <xdr:rowOff>144780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57842B93-4C7C-4F0A-948C-34BAE1ED1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11</xdr:row>
          <xdr:rowOff>7620</xdr:rowOff>
        </xdr:from>
        <xdr:to>
          <xdr:col>3</xdr:col>
          <xdr:colOff>510540</xdr:colOff>
          <xdr:row>12</xdr:row>
          <xdr:rowOff>144780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5A61E342-71B0-4556-9B25-2EC58ADF2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11</xdr:row>
          <xdr:rowOff>7620</xdr:rowOff>
        </xdr:from>
        <xdr:to>
          <xdr:col>4</xdr:col>
          <xdr:colOff>510540</xdr:colOff>
          <xdr:row>12</xdr:row>
          <xdr:rowOff>144780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B0D76A94-4E8F-4666-ACF7-90F1868172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11</xdr:row>
          <xdr:rowOff>7620</xdr:rowOff>
        </xdr:from>
        <xdr:to>
          <xdr:col>5</xdr:col>
          <xdr:colOff>510540</xdr:colOff>
          <xdr:row>12</xdr:row>
          <xdr:rowOff>144780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1FE29EA-CD44-434F-9C30-103F94629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11428</xdr:colOff>
          <xdr:row>0</xdr:row>
          <xdr:rowOff>11430</xdr:rowOff>
        </xdr:from>
        <xdr:to>
          <xdr:col>1</xdr:col>
          <xdr:colOff>4328</xdr:colOff>
          <xdr:row>1</xdr:row>
          <xdr:rowOff>0</xdr:rowOff>
        </xdr:to>
        <xdr:sp macro="" textlink="">
          <xdr:nvSpPr>
            <xdr:cNvPr id="1033" name="Button 9" descr="Kezdé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23E4F055-B1EB-40B8-904A-723C3B3DD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Kezdés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2</xdr:col>
          <xdr:colOff>0</xdr:colOff>
          <xdr:row>7</xdr:row>
          <xdr:rowOff>181841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E87F9C9A-5DEA-4739-A708-887E49B0B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Árverés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9524</xdr:rowOff>
        </xdr:from>
        <xdr:to>
          <xdr:col>2</xdr:col>
          <xdr:colOff>662420</xdr:colOff>
          <xdr:row>7</xdr:row>
          <xdr:rowOff>177511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CC89DEEE-15C5-4C86-AFE2-FFFD2985A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Árverés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7</xdr:row>
          <xdr:rowOff>9524</xdr:rowOff>
        </xdr:from>
        <xdr:to>
          <xdr:col>4</xdr:col>
          <xdr:colOff>4329</xdr:colOff>
          <xdr:row>7</xdr:row>
          <xdr:rowOff>177511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FAA3635D-A1F5-453A-AF2C-D15198B13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Árverés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7</xdr:row>
          <xdr:rowOff>9525</xdr:rowOff>
        </xdr:from>
        <xdr:to>
          <xdr:col>4</xdr:col>
          <xdr:colOff>662420</xdr:colOff>
          <xdr:row>7</xdr:row>
          <xdr:rowOff>168853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D6036C55-F5F7-4510-B86E-28A86A274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Árverés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9524</xdr:rowOff>
        </xdr:from>
        <xdr:to>
          <xdr:col>5</xdr:col>
          <xdr:colOff>662420</xdr:colOff>
          <xdr:row>7</xdr:row>
          <xdr:rowOff>173181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582CA49F-1357-4940-8DD1-015411FDA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Árverés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11</xdr:row>
          <xdr:rowOff>7620</xdr:rowOff>
        </xdr:from>
        <xdr:to>
          <xdr:col>2</xdr:col>
          <xdr:colOff>510540</xdr:colOff>
          <xdr:row>12</xdr:row>
          <xdr:rowOff>144780</xdr:rowOff>
        </xdr:to>
        <xdr:sp macro="" textlink="">
          <xdr:nvSpPr>
            <xdr:cNvPr id="1039" name="Spinne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38D507A6-E2E9-437A-95A6-0418CDB87B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11</xdr:row>
          <xdr:rowOff>7620</xdr:rowOff>
        </xdr:from>
        <xdr:to>
          <xdr:col>3</xdr:col>
          <xdr:colOff>510540</xdr:colOff>
          <xdr:row>12</xdr:row>
          <xdr:rowOff>144780</xdr:rowOff>
        </xdr:to>
        <xdr:sp macro="" textlink="">
          <xdr:nvSpPr>
            <xdr:cNvPr id="1040" name="Spinne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E9605429-40FA-4FF1-9BFE-DDA087196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11</xdr:row>
          <xdr:rowOff>7620</xdr:rowOff>
        </xdr:from>
        <xdr:to>
          <xdr:col>4</xdr:col>
          <xdr:colOff>510540</xdr:colOff>
          <xdr:row>12</xdr:row>
          <xdr:rowOff>144780</xdr:rowOff>
        </xdr:to>
        <xdr:sp macro="" textlink="">
          <xdr:nvSpPr>
            <xdr:cNvPr id="1041" name="Spinne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AA674C48-1EC7-4A90-B341-40513ABB0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11</xdr:row>
          <xdr:rowOff>7620</xdr:rowOff>
        </xdr:from>
        <xdr:to>
          <xdr:col>5</xdr:col>
          <xdr:colOff>510540</xdr:colOff>
          <xdr:row>12</xdr:row>
          <xdr:rowOff>144780</xdr:rowOff>
        </xdr:to>
        <xdr:sp macro="" textlink="">
          <xdr:nvSpPr>
            <xdr:cNvPr id="1042" name="Spinner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6E4D14CF-D211-43D6-BB1A-B5C7F52DA3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</xdr:row>
          <xdr:rowOff>9524</xdr:rowOff>
        </xdr:from>
        <xdr:to>
          <xdr:col>0</xdr:col>
          <xdr:colOff>978477</xdr:colOff>
          <xdr:row>7</xdr:row>
          <xdr:rowOff>173181</xdr:rowOff>
        </xdr:to>
        <xdr:sp macro="" textlink="">
          <xdr:nvSpPr>
            <xdr:cNvPr id="1046" name="Button 22" descr="Osztalék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529CEC4B-85E5-4816-AC5D-131BF168A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Osztalék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</xdr:row>
          <xdr:rowOff>9525</xdr:rowOff>
        </xdr:from>
        <xdr:to>
          <xdr:col>0</xdr:col>
          <xdr:colOff>974148</xdr:colOff>
          <xdr:row>12</xdr:row>
          <xdr:rowOff>151534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CDC451CC-6569-47C0-A0FA-E7458238E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Adatok törlése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M13"/>
  <sheetViews>
    <sheetView showGridLines="0" showRowColHeaders="0" tabSelected="1" zoomScale="220" zoomScaleNormal="220" workbookViewId="0">
      <selection activeCell="G4" sqref="G4"/>
    </sheetView>
  </sheetViews>
  <sheetFormatPr defaultRowHeight="14.4" x14ac:dyDescent="0.3"/>
  <cols>
    <col min="1" max="1" width="14.33203125" customWidth="1"/>
    <col min="2" max="6" width="9.6640625" customWidth="1"/>
    <col min="7" max="7" width="12.6640625" customWidth="1"/>
  </cols>
  <sheetData>
    <row r="1" spans="1:13" ht="18" customHeight="1" x14ac:dyDescent="0.3">
      <c r="A1" s="2"/>
      <c r="B1" s="3" t="s">
        <v>0</v>
      </c>
      <c r="C1" s="4" t="s">
        <v>1</v>
      </c>
      <c r="D1" s="5" t="s">
        <v>2</v>
      </c>
      <c r="E1" s="6" t="s">
        <v>3</v>
      </c>
      <c r="F1" s="7" t="s">
        <v>4</v>
      </c>
      <c r="G1" s="31"/>
      <c r="H1" s="1"/>
      <c r="M1" s="29"/>
    </row>
    <row r="2" spans="1:13" x14ac:dyDescent="0.3">
      <c r="A2" s="33"/>
      <c r="B2" s="22"/>
      <c r="C2" s="8"/>
      <c r="D2" s="9"/>
      <c r="E2" s="10"/>
      <c r="F2" s="23"/>
      <c r="G2" s="38">
        <f t="shared" ref="G2:G7" si="0">IFERROR(B2*$B$10+C2*$C$10+D2*$D$10+E2*$E$10+F2*$F$10,"Hiba!")</f>
        <v>0</v>
      </c>
    </row>
    <row r="3" spans="1:13" x14ac:dyDescent="0.3">
      <c r="A3" s="34"/>
      <c r="B3" s="22"/>
      <c r="C3" s="8"/>
      <c r="D3" s="9"/>
      <c r="E3" s="10"/>
      <c r="F3" s="23"/>
      <c r="G3" s="38">
        <f t="shared" si="0"/>
        <v>0</v>
      </c>
    </row>
    <row r="4" spans="1:13" x14ac:dyDescent="0.3">
      <c r="A4" s="34"/>
      <c r="B4" s="22"/>
      <c r="C4" s="8"/>
      <c r="D4" s="9"/>
      <c r="E4" s="10"/>
      <c r="F4" s="23"/>
      <c r="G4" s="38">
        <f t="shared" si="0"/>
        <v>0</v>
      </c>
    </row>
    <row r="5" spans="1:13" x14ac:dyDescent="0.3">
      <c r="A5" s="34"/>
      <c r="B5" s="22"/>
      <c r="C5" s="8"/>
      <c r="D5" s="9"/>
      <c r="E5" s="10"/>
      <c r="F5" s="23"/>
      <c r="G5" s="38">
        <f t="shared" si="0"/>
        <v>0</v>
      </c>
    </row>
    <row r="6" spans="1:13" s="1" customFormat="1" x14ac:dyDescent="0.3">
      <c r="A6" s="34"/>
      <c r="B6" s="22"/>
      <c r="C6" s="8"/>
      <c r="D6" s="9"/>
      <c r="E6" s="10"/>
      <c r="F6" s="23"/>
      <c r="G6" s="38">
        <f t="shared" si="0"/>
        <v>0</v>
      </c>
    </row>
    <row r="7" spans="1:13" x14ac:dyDescent="0.3">
      <c r="A7" s="35"/>
      <c r="B7" s="24"/>
      <c r="C7" s="25"/>
      <c r="D7" s="26"/>
      <c r="E7" s="27"/>
      <c r="F7" s="28"/>
      <c r="G7" s="38">
        <f t="shared" si="0"/>
        <v>0</v>
      </c>
    </row>
    <row r="8" spans="1:13" x14ac:dyDescent="0.3">
      <c r="A8" s="37"/>
      <c r="B8" s="37"/>
      <c r="C8" s="37"/>
      <c r="D8" s="37"/>
      <c r="E8" s="37"/>
      <c r="F8" s="37"/>
      <c r="G8" s="32"/>
    </row>
    <row r="9" spans="1:13" x14ac:dyDescent="0.3">
      <c r="A9" s="33" t="s">
        <v>5</v>
      </c>
      <c r="B9" s="13">
        <f>IF(SUM(B2:B8)&lt;COLUMN()+1,SUM(B2:B8),"Hiba!")</f>
        <v>0</v>
      </c>
      <c r="C9" s="14">
        <f>IF(SUM(C2:C8)&lt;COLUMN()+1,SUM(C2:C8),"Hiba!")</f>
        <v>0</v>
      </c>
      <c r="D9" s="15">
        <f>IF(SUM(D2:D8)&lt;COLUMN()+1,SUM(D2:D8),"Hiba!")</f>
        <v>0</v>
      </c>
      <c r="E9" s="16">
        <f>IF(SUM(E2:E8)&lt;COLUMN()+1,SUM(E2:E8),"Hiba!")</f>
        <v>0</v>
      </c>
      <c r="F9" s="17">
        <f>IF(SUM(F2:F8)&lt;COLUMN()+1,SUM(F2:F8),"Hiba!")</f>
        <v>0</v>
      </c>
      <c r="G9" s="32"/>
    </row>
    <row r="10" spans="1:13" x14ac:dyDescent="0.3">
      <c r="A10" s="34" t="s">
        <v>6</v>
      </c>
      <c r="B10" s="18" t="str">
        <f>IFERROR(IF(B9=0,"0",ROUNDUP(B11/B9,0)),"Hiba!")</f>
        <v>0</v>
      </c>
      <c r="C10" s="11" t="str">
        <f>IFERROR(IF(C9=0,"0",ROUNDUP(C11/C9,0)),"Hiba!")</f>
        <v>0</v>
      </c>
      <c r="D10" s="11" t="str">
        <f>IFERROR(IF(D9=0,"0",ROUNDUP(D11/D9,0)),"Hiba!")</f>
        <v>0</v>
      </c>
      <c r="E10" s="11" t="str">
        <f>IFERROR(IF(E9=0,"0",ROUNDUP(E11/E9,0)),"Hiba!")</f>
        <v>0</v>
      </c>
      <c r="F10" s="19" t="str">
        <f>IFERROR(IF(F9=0,"0",ROUNDUP(F11/F9,0)),"Hiba!")</f>
        <v>0</v>
      </c>
      <c r="G10" s="32"/>
    </row>
    <row r="11" spans="1:13" x14ac:dyDescent="0.3">
      <c r="A11" s="35" t="s">
        <v>7</v>
      </c>
      <c r="B11" s="20"/>
      <c r="C11" s="12">
        <v>7</v>
      </c>
      <c r="D11" s="12">
        <v>6</v>
      </c>
      <c r="E11" s="12">
        <v>8</v>
      </c>
      <c r="F11" s="21">
        <v>5</v>
      </c>
      <c r="G11" s="32"/>
    </row>
    <row r="12" spans="1:13" x14ac:dyDescent="0.3">
      <c r="A12" s="36">
        <f>IF(SUM(B12:F12)&gt;=3,1,0)</f>
        <v>0</v>
      </c>
      <c r="B12" s="36">
        <f>IF(B9=2,1,0)</f>
        <v>0</v>
      </c>
      <c r="C12" s="36">
        <f>IF(C9=3,1,0)</f>
        <v>0</v>
      </c>
      <c r="D12" s="36">
        <f>IF(D9=4,1,0)</f>
        <v>0</v>
      </c>
      <c r="E12" s="36">
        <f>IF(E9=5,1,0)</f>
        <v>0</v>
      </c>
      <c r="F12" s="36">
        <f>IF(F9=6,1,0)</f>
        <v>0</v>
      </c>
      <c r="G12" s="32"/>
    </row>
    <row r="13" spans="1:13" x14ac:dyDescent="0.3">
      <c r="A13" s="30"/>
      <c r="B13" s="30"/>
      <c r="C13" s="30"/>
      <c r="D13" s="30"/>
      <c r="E13" s="30"/>
      <c r="F13" s="30"/>
      <c r="G13" s="3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ner 4">
              <controlPr defaultSize="0" autoPict="0">
                <anchor moveWithCells="1" sizeWithCells="1">
                  <from>
                    <xdr:col>1</xdr:col>
                    <xdr:colOff>7620</xdr:colOff>
                    <xdr:row>11</xdr:row>
                    <xdr:rowOff>7620</xdr:rowOff>
                  </from>
                  <to>
                    <xdr:col>1</xdr:col>
                    <xdr:colOff>510540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pinner 5">
              <controlPr defaultSize="0" autoPict="0">
                <anchor moveWithCells="1" sizeWithCells="1">
                  <from>
                    <xdr:col>2</xdr:col>
                    <xdr:colOff>7620</xdr:colOff>
                    <xdr:row>11</xdr:row>
                    <xdr:rowOff>7620</xdr:rowOff>
                  </from>
                  <to>
                    <xdr:col>2</xdr:col>
                    <xdr:colOff>510540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pinner 6">
              <controlPr defaultSize="0" autoPict="0">
                <anchor moveWithCells="1" sizeWithCells="1">
                  <from>
                    <xdr:col>3</xdr:col>
                    <xdr:colOff>7620</xdr:colOff>
                    <xdr:row>11</xdr:row>
                    <xdr:rowOff>7620</xdr:rowOff>
                  </from>
                  <to>
                    <xdr:col>3</xdr:col>
                    <xdr:colOff>510540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Spinner 7">
              <controlPr defaultSize="0" autoPict="0">
                <anchor moveWithCells="1" sizeWithCells="1">
                  <from>
                    <xdr:col>4</xdr:col>
                    <xdr:colOff>7620</xdr:colOff>
                    <xdr:row>11</xdr:row>
                    <xdr:rowOff>7620</xdr:rowOff>
                  </from>
                  <to>
                    <xdr:col>4</xdr:col>
                    <xdr:colOff>510540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Spinner 8">
              <controlPr defaultSize="0" autoPict="0">
                <anchor moveWithCells="1" sizeWithCells="1">
                  <from>
                    <xdr:col>5</xdr:col>
                    <xdr:colOff>7620</xdr:colOff>
                    <xdr:row>11</xdr:row>
                    <xdr:rowOff>7620</xdr:rowOff>
                  </from>
                  <to>
                    <xdr:col>5</xdr:col>
                    <xdr:colOff>510540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Kezdés.Kezdés" altText="Kezdés">
                <anchor moveWithCells="1" sizeWithCells="1">
                  <from>
                    <xdr:col>0</xdr:col>
                    <xdr:colOff>7620</xdr:colOff>
                    <xdr:row>0</xdr:row>
                    <xdr:rowOff>15240</xdr:rowOff>
                  </from>
                  <to>
                    <xdr:col>1</xdr:col>
                    <xdr:colOff>7620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WRC_eladás.WRC_eladás">
                <anchor moveWithCells="1" sizeWithCells="1">
                  <from>
                    <xdr:col>1</xdr:col>
                    <xdr:colOff>7620</xdr:colOff>
                    <xdr:row>7</xdr:row>
                    <xdr:rowOff>7620</xdr:rowOff>
                  </from>
                  <to>
                    <xdr:col>2</xdr:col>
                    <xdr:colOff>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PRR_eladás.PRR_eladás">
                <anchor moveWithCells="1" sizeWithCells="1">
                  <from>
                    <xdr:col>2</xdr:col>
                    <xdr:colOff>7620</xdr:colOff>
                    <xdr:row>7</xdr:row>
                    <xdr:rowOff>7620</xdr:rowOff>
                  </from>
                  <to>
                    <xdr:col>2</xdr:col>
                    <xdr:colOff>662940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BandO_eladás.BandO_eladás">
                <anchor moveWithCells="1" sizeWithCells="1">
                  <from>
                    <xdr:col>3</xdr:col>
                    <xdr:colOff>7620</xdr:colOff>
                    <xdr:row>7</xdr:row>
                    <xdr:rowOff>7620</xdr:rowOff>
                  </from>
                  <to>
                    <xdr:col>4</xdr:col>
                    <xdr:colOff>7620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NYC_eladás.NYC_eladás">
                <anchor moveWithCells="1" sizeWithCells="1">
                  <from>
                    <xdr:col>4</xdr:col>
                    <xdr:colOff>7620</xdr:colOff>
                    <xdr:row>7</xdr:row>
                    <xdr:rowOff>7620</xdr:rowOff>
                  </from>
                  <to>
                    <xdr:col>4</xdr:col>
                    <xdr:colOff>662940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CandO_eladás.CandO_eladás">
                <anchor moveWithCells="1" sizeWithCells="1">
                  <from>
                    <xdr:col>5</xdr:col>
                    <xdr:colOff>7620</xdr:colOff>
                    <xdr:row>7</xdr:row>
                    <xdr:rowOff>7620</xdr:rowOff>
                  </from>
                  <to>
                    <xdr:col>5</xdr:col>
                    <xdr:colOff>662940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Spinner 15">
              <controlPr defaultSize="0" autoPict="0">
                <anchor moveWithCells="1" sizeWithCells="1">
                  <from>
                    <xdr:col>2</xdr:col>
                    <xdr:colOff>7620</xdr:colOff>
                    <xdr:row>11</xdr:row>
                    <xdr:rowOff>7620</xdr:rowOff>
                  </from>
                  <to>
                    <xdr:col>2</xdr:col>
                    <xdr:colOff>510540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Spinner 16">
              <controlPr defaultSize="0" autoPict="0">
                <anchor moveWithCells="1" sizeWithCells="1">
                  <from>
                    <xdr:col>3</xdr:col>
                    <xdr:colOff>7620</xdr:colOff>
                    <xdr:row>11</xdr:row>
                    <xdr:rowOff>7620</xdr:rowOff>
                  </from>
                  <to>
                    <xdr:col>3</xdr:col>
                    <xdr:colOff>510540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Spinner 17">
              <controlPr defaultSize="0" autoPict="0">
                <anchor moveWithCells="1" sizeWithCells="1">
                  <from>
                    <xdr:col>4</xdr:col>
                    <xdr:colOff>7620</xdr:colOff>
                    <xdr:row>11</xdr:row>
                    <xdr:rowOff>7620</xdr:rowOff>
                  </from>
                  <to>
                    <xdr:col>4</xdr:col>
                    <xdr:colOff>510540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Spinner 18">
              <controlPr defaultSize="0" autoPict="0">
                <anchor moveWithCells="1" sizeWithCells="1">
                  <from>
                    <xdr:col>5</xdr:col>
                    <xdr:colOff>7620</xdr:colOff>
                    <xdr:row>11</xdr:row>
                    <xdr:rowOff>7620</xdr:rowOff>
                  </from>
                  <to>
                    <xdr:col>5</xdr:col>
                    <xdr:colOff>510540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Button 22">
              <controlPr defaultSize="0" print="0" autoFill="0" autoPict="0" macro="[0]!Osztalék.Osztalék" altText="Osztalék">
                <anchor moveWithCells="1" sizeWithCells="1">
                  <from>
                    <xdr:col>0</xdr:col>
                    <xdr:colOff>7620</xdr:colOff>
                    <xdr:row>7</xdr:row>
                    <xdr:rowOff>7620</xdr:rowOff>
                  </from>
                  <to>
                    <xdr:col>0</xdr:col>
                    <xdr:colOff>975360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Button 23">
              <controlPr defaultSize="0" print="0" autoFill="0" autoPict="0" macro="[0]!Törlés.Törlés">
                <anchor moveWithCells="1" sizeWithCells="1">
                  <from>
                    <xdr:col>0</xdr:col>
                    <xdr:colOff>22860</xdr:colOff>
                    <xdr:row>11</xdr:row>
                    <xdr:rowOff>7620</xdr:rowOff>
                  </from>
                  <to>
                    <xdr:col>0</xdr:col>
                    <xdr:colOff>975360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Játék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Mózes</dc:creator>
  <cp:lastModifiedBy>Mózes Árpád Benedek</cp:lastModifiedBy>
  <dcterms:created xsi:type="dcterms:W3CDTF">2015-02-02T11:58:53Z</dcterms:created>
  <dcterms:modified xsi:type="dcterms:W3CDTF">2021-09-14T09:33:19Z</dcterms:modified>
</cp:coreProperties>
</file>